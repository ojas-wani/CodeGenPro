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io\OneDrive\Desktop\CSULB_things\Sem 3\Software Maintainance\Code\LLM-Improved-Code-Quality\test_data\temp2\updated_code\submissions\"/>
    </mc:Choice>
  </mc:AlternateContent>
  <xr:revisionPtr revIDLastSave="0" documentId="13_ncr:1_{66ACBA81-058B-40F1-A00C-07F0580E399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Sheet1!$A$1:$L$299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0" i="1" l="1"/>
  <c r="U9" i="1"/>
  <c r="U8" i="1"/>
  <c r="T8" i="1"/>
  <c r="T10" i="1"/>
  <c r="T9" i="1"/>
  <c r="S10" i="1"/>
  <c r="S9" i="1"/>
  <c r="S8" i="1"/>
  <c r="R8" i="1"/>
  <c r="R10" i="1"/>
  <c r="R9" i="1"/>
  <c r="R3" i="1"/>
  <c r="R4" i="1"/>
  <c r="R2" i="1"/>
  <c r="U2" i="1"/>
  <c r="U3" i="1"/>
  <c r="U4" i="1"/>
  <c r="T4" i="1"/>
  <c r="T3" i="1"/>
  <c r="T2" i="1"/>
  <c r="S2" i="1"/>
  <c r="S4" i="1"/>
  <c r="S3" i="1"/>
  <c r="U5" i="1" l="1"/>
  <c r="T11" i="1"/>
  <c r="S11" i="1"/>
  <c r="V23" i="1" s="1"/>
  <c r="R5" i="1"/>
  <c r="U11" i="1"/>
  <c r="S5" i="1"/>
  <c r="V22" i="1" s="1"/>
  <c r="R11" i="1"/>
  <c r="T5" i="1"/>
  <c r="R15" i="1"/>
  <c r="S15" i="1"/>
  <c r="T15" i="1"/>
  <c r="R16" i="1"/>
  <c r="S16" i="1"/>
  <c r="T16" i="1"/>
  <c r="T23" i="1" l="1"/>
  <c r="U23" i="1"/>
  <c r="S23" i="1"/>
  <c r="R23" i="1"/>
  <c r="Q23" i="1"/>
  <c r="R22" i="1"/>
  <c r="U22" i="1"/>
  <c r="S22" i="1"/>
  <c r="T22" i="1"/>
  <c r="Q22" i="1"/>
</calcChain>
</file>

<file path=xl/sharedStrings.xml><?xml version="1.0" encoding="utf-8"?>
<sst xmlns="http://schemas.openxmlformats.org/spreadsheetml/2006/main" count="122" uniqueCount="82">
  <si>
    <t>Id</t>
  </si>
  <si>
    <t>Name</t>
  </si>
  <si>
    <t>Difficulty</t>
  </si>
  <si>
    <t>Language</t>
  </si>
  <si>
    <t>Submission_result</t>
  </si>
  <si>
    <t>Easy</t>
  </si>
  <si>
    <t>Medium</t>
  </si>
  <si>
    <t>Hard</t>
  </si>
  <si>
    <t>Runtime Error</t>
  </si>
  <si>
    <t>Java</t>
  </si>
  <si>
    <t>Counts</t>
  </si>
  <si>
    <t>Wrong Answer</t>
  </si>
  <si>
    <t>Pass Counts</t>
  </si>
  <si>
    <t>Python</t>
  </si>
  <si>
    <t>Pass@1</t>
  </si>
  <si>
    <t>testcase_passed</t>
  </si>
  <si>
    <t>lines_of_code</t>
  </si>
  <si>
    <t>Range</t>
  </si>
  <si>
    <t>Pass@lines_of_code</t>
  </si>
  <si>
    <t>&lt;10</t>
  </si>
  <si>
    <t>10-20</t>
  </si>
  <si>
    <t>20-30</t>
  </si>
  <si>
    <t>30-40</t>
  </si>
  <si>
    <t>&gt;50</t>
  </si>
  <si>
    <t>40-50</t>
  </si>
  <si>
    <t>Python-pass@1</t>
  </si>
  <si>
    <t>java-pass@1</t>
  </si>
  <si>
    <t>Wrong Outputs</t>
  </si>
  <si>
    <t>P</t>
  </si>
  <si>
    <t>J</t>
  </si>
  <si>
    <t>5 (14%)</t>
  </si>
  <si>
    <t>1 (3%)</t>
  </si>
  <si>
    <t>6 (6%)</t>
  </si>
  <si>
    <t>12 (46%)</t>
  </si>
  <si>
    <t>34 (32%)</t>
  </si>
  <si>
    <t>2 (3%)</t>
  </si>
  <si>
    <t>4 (4%)</t>
  </si>
  <si>
    <t>10 (39%)</t>
  </si>
  <si>
    <t>5 (16%)</t>
  </si>
  <si>
    <t>24 (26%)</t>
  </si>
  <si>
    <t>23 (25%)</t>
  </si>
  <si>
    <t>7 (27%)</t>
  </si>
  <si>
    <t>11 (42%)</t>
  </si>
  <si>
    <t>75 (68%)</t>
  </si>
  <si>
    <t>34 (23%)</t>
  </si>
  <si>
    <t>75 (50%)</t>
  </si>
  <si>
    <t>Compilation and Runtime Error</t>
  </si>
  <si>
    <t>Fail (110)</t>
  </si>
  <si>
    <t>Pass (188)</t>
  </si>
  <si>
    <t>Hard (52)</t>
  </si>
  <si>
    <t xml:space="preserve"> Medium (184)</t>
  </si>
  <si>
    <t>Easy (62)</t>
  </si>
  <si>
    <t>Sum</t>
  </si>
  <si>
    <t>Code Style and Maintainability</t>
  </si>
  <si>
    <t>Performance and Efficiency</t>
  </si>
  <si>
    <t>performance issue</t>
  </si>
  <si>
    <t>final_style_issue</t>
  </si>
  <si>
    <t>flake8, checkstyle</t>
  </si>
  <si>
    <t>pylint, pmd</t>
  </si>
  <si>
    <t>6 (19%)</t>
  </si>
  <si>
    <t>22 (70%)</t>
  </si>
  <si>
    <t>21 (22%)</t>
  </si>
  <si>
    <t>73 (79%)</t>
  </si>
  <si>
    <t>10 (38%)</t>
  </si>
  <si>
    <t>23 (88%)</t>
  </si>
  <si>
    <t>92 (48%)</t>
  </si>
  <si>
    <t>47 (42%)</t>
  </si>
  <si>
    <t>139 (46%)</t>
  </si>
  <si>
    <t>0 (0%)</t>
  </si>
  <si>
    <t>1 (0%)</t>
  </si>
  <si>
    <t>3 (5%)</t>
  </si>
  <si>
    <t>7 (6%)</t>
  </si>
  <si>
    <t>7 (2%)</t>
  </si>
  <si>
    <t>Pass</t>
  </si>
  <si>
    <t>Fail</t>
  </si>
  <si>
    <t>Pass-Clean</t>
  </si>
  <si>
    <t>Pass-Issue</t>
  </si>
  <si>
    <t>Fail-Clean</t>
  </si>
  <si>
    <t>Fail-Issue</t>
  </si>
  <si>
    <t>Clean</t>
  </si>
  <si>
    <t>Issue</t>
  </si>
  <si>
    <t xml:space="preserve">Easy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</si>
</sst>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49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1" fontId="1" fillId="0" borderId="0" xfId="0" applyNumberFormat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Sheet1!$R$1</c:f>
              <c:strCache>
                <c:ptCount val="1"/>
                <c:pt idx="0">
                  <c:v>Counts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CF2-4E4D-8196-6DD3B76C86A1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CF2-4E4D-8196-6DD3B76C86A1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CF2-4E4D-8196-6DD3B76C86A1}"/>
              </c:ext>
            </c:extLst>
          </c:dPt>
          <c:dLbls>
            <c:dLbl>
              <c:idx val="0"/>
              <c:layout>
                <c:manualLayout>
                  <c:x val="-0.1272133895942433"/>
                  <c:y val="0.201693557477094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5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D254F1C-7002-434A-AF66-B93E3253FE80}" type="CATEGORYNAME">
                      <a:rPr lang="en-US" sz="1050"/>
                      <a:pPr>
                        <a:defRPr sz="1050" b="1"/>
                      </a:pPr>
                      <a:t>[CATEGORY NAME]</a:t>
                    </a:fld>
                    <a:endParaRPr lang="en-US" sz="1050" baseline="0"/>
                  </a:p>
                  <a:p>
                    <a:pPr>
                      <a:defRPr sz="1050" b="1"/>
                    </a:pPr>
                    <a:fld id="{33F1958F-54D4-4BE1-A5C0-D646B794FE0C}" type="VALUE">
                      <a:rPr lang="en-US" sz="1050" baseline="0"/>
                      <a:pPr>
                        <a:defRPr sz="1050" b="1"/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FCF2-4E4D-8196-6DD3B76C86A1}"/>
                </c:ext>
              </c:extLst>
            </c:dLbl>
            <c:dLbl>
              <c:idx val="1"/>
              <c:layout>
                <c:manualLayout>
                  <c:x val="5.6198746687764506E-2"/>
                  <c:y val="-0.2168920986103730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1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70FF673-5B6C-4CA7-8F2C-67485C5D533B}" type="CATEGORYNAME">
                      <a:rPr lang="en-US" sz="1100"/>
                      <a:pPr>
                        <a:defRPr sz="1100" b="1"/>
                      </a:pPr>
                      <a:t>[CATEGORY NAME]</a:t>
                    </a:fld>
                    <a:r>
                      <a:rPr lang="en-US" sz="1100" baseline="0"/>
                      <a:t>  </a:t>
                    </a:r>
                    <a:fld id="{275C8309-296B-47A0-8F98-997035EE2785}" type="VALUE">
                      <a:rPr lang="en-US" sz="1100" baseline="0"/>
                      <a:pPr>
                        <a:defRPr sz="1100" b="1"/>
                      </a:pPr>
                      <a:t>[VALUE]</a:t>
                    </a:fld>
                    <a:endParaRPr lang="en-US" sz="110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FCF2-4E4D-8196-6DD3B76C86A1}"/>
                </c:ext>
              </c:extLst>
            </c:dLbl>
            <c:dLbl>
              <c:idx val="2"/>
              <c:layout>
                <c:manualLayout>
                  <c:x val="0.1258803325421643"/>
                  <c:y val="0.2269797755341931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5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9DAADD6-FE8A-4E91-A0EB-AA02BCB15437}" type="CATEGORYNAME">
                      <a:rPr lang="en-US" sz="1050"/>
                      <a:pPr>
                        <a:defRPr sz="1050" b="1"/>
                      </a:pPr>
                      <a:t>[CATEGORY NAME]</a:t>
                    </a:fld>
                    <a:endParaRPr lang="en-US" sz="1050" baseline="0"/>
                  </a:p>
                  <a:p>
                    <a:pPr>
                      <a:defRPr sz="1050" b="1"/>
                    </a:pPr>
                    <a:fld id="{6D951647-B2D2-4B40-802B-C6C685FD6A34}" type="VALUE">
                      <a:rPr lang="en-US" sz="1050" baseline="0"/>
                      <a:pPr>
                        <a:defRPr sz="1050" b="1"/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CF2-4E4D-8196-6DD3B76C86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Sheet1!$Q$2:$Q$4</c:f>
              <c:strCache>
                <c:ptCount val="3"/>
                <c:pt idx="0">
                  <c:v>Easy</c:v>
                </c:pt>
                <c:pt idx="1">
                  <c:v>Medium</c:v>
                </c:pt>
                <c:pt idx="2">
                  <c:v>Hard</c:v>
                </c:pt>
              </c:strCache>
            </c:strRef>
          </c:cat>
          <c:val>
            <c:numRef>
              <c:f>Sheet1!$R$2:$R$4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F2-4E4D-8196-6DD3B76C86A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Sheet1!$P$20</c:f>
              <c:strCache>
                <c:ptCount val="1"/>
                <c:pt idx="0">
                  <c:v>Python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Sheet1!$Q$19:$V$19</c:f>
              <c:strCache>
                <c:ptCount val="6"/>
                <c:pt idx="0">
                  <c:v>&lt;10</c:v>
                </c:pt>
                <c:pt idx="1">
                  <c:v>10-20</c:v>
                </c:pt>
                <c:pt idx="2">
                  <c:v>20-30</c:v>
                </c:pt>
                <c:pt idx="3">
                  <c:v>30-40</c:v>
                </c:pt>
                <c:pt idx="4">
                  <c:v>40-50</c:v>
                </c:pt>
                <c:pt idx="5">
                  <c:v>&gt;50</c:v>
                </c:pt>
              </c:strCache>
            </c:strRef>
          </c:cat>
          <c:val>
            <c:numRef>
              <c:f>Sheet1!$Q$20:$V$20</c:f>
              <c:numCache>
                <c:formatCode>General</c:formatCode>
                <c:ptCount val="6"/>
                <c:pt idx="0">
                  <c:v>23</c:v>
                </c:pt>
                <c:pt idx="1">
                  <c:v>55</c:v>
                </c:pt>
                <c:pt idx="2">
                  <c:v>15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3F-4462-99B7-49AD989540B0}"/>
            </c:ext>
          </c:extLst>
        </c:ser>
        <c:ser>
          <c:idx val="1"/>
          <c:order val="1"/>
          <c:tx>
            <c:strRef>
              <c:f>Sheet1!$P$21</c:f>
              <c:strCache>
                <c:ptCount val="1"/>
                <c:pt idx="0">
                  <c:v>Java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Sheet1!$Q$19:$V$19</c:f>
              <c:strCache>
                <c:ptCount val="6"/>
                <c:pt idx="0">
                  <c:v>&lt;10</c:v>
                </c:pt>
                <c:pt idx="1">
                  <c:v>10-20</c:v>
                </c:pt>
                <c:pt idx="2">
                  <c:v>20-30</c:v>
                </c:pt>
                <c:pt idx="3">
                  <c:v>30-40</c:v>
                </c:pt>
                <c:pt idx="4">
                  <c:v>40-50</c:v>
                </c:pt>
                <c:pt idx="5">
                  <c:v>&gt;50</c:v>
                </c:pt>
              </c:strCache>
            </c:strRef>
          </c:cat>
          <c:val>
            <c:numRef>
              <c:f>Sheet1!$Q$21:$V$21</c:f>
              <c:numCache>
                <c:formatCode>General</c:formatCode>
                <c:ptCount val="6"/>
                <c:pt idx="0">
                  <c:v>5</c:v>
                </c:pt>
                <c:pt idx="1">
                  <c:v>48</c:v>
                </c:pt>
                <c:pt idx="2">
                  <c:v>30</c:v>
                </c:pt>
                <c:pt idx="3">
                  <c:v>9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3F-4462-99B7-49AD98954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798016"/>
        <c:axId val="1917507792"/>
      </c:barChart>
      <c:lineChart>
        <c:grouping val="standard"/>
        <c:varyColors val="0"/>
        <c:ser>
          <c:idx val="2"/>
          <c:order val="2"/>
          <c:tx>
            <c:strRef>
              <c:f>Sheet1!$P$22</c:f>
              <c:strCache>
                <c:ptCount val="1"/>
                <c:pt idx="0">
                  <c:v>Python-pass@1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Sheet1!$Q$19:$V$19</c:f>
              <c:strCache>
                <c:ptCount val="6"/>
                <c:pt idx="0">
                  <c:v>&lt;10</c:v>
                </c:pt>
                <c:pt idx="1">
                  <c:v>10-20</c:v>
                </c:pt>
                <c:pt idx="2">
                  <c:v>20-30</c:v>
                </c:pt>
                <c:pt idx="3">
                  <c:v>30-40</c:v>
                </c:pt>
                <c:pt idx="4">
                  <c:v>40-50</c:v>
                </c:pt>
                <c:pt idx="5">
                  <c:v>&gt;50</c:v>
                </c:pt>
              </c:strCache>
            </c:strRef>
          </c:cat>
          <c:val>
            <c:numRef>
              <c:f>Sheet1!$Q$22:$V$22</c:f>
              <c:numCache>
                <c:formatCode>0.000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3F-4462-99B7-49AD989540B0}"/>
            </c:ext>
          </c:extLst>
        </c:ser>
        <c:ser>
          <c:idx val="3"/>
          <c:order val="3"/>
          <c:tx>
            <c:strRef>
              <c:f>Sheet1!$P$23</c:f>
              <c:strCache>
                <c:ptCount val="1"/>
                <c:pt idx="0">
                  <c:v>java-pass@1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Sheet1!$Q$19:$V$19</c:f>
              <c:strCache>
                <c:ptCount val="6"/>
                <c:pt idx="0">
                  <c:v>&lt;10</c:v>
                </c:pt>
                <c:pt idx="1">
                  <c:v>10-20</c:v>
                </c:pt>
                <c:pt idx="2">
                  <c:v>20-30</c:v>
                </c:pt>
                <c:pt idx="3">
                  <c:v>30-40</c:v>
                </c:pt>
                <c:pt idx="4">
                  <c:v>40-50</c:v>
                </c:pt>
                <c:pt idx="5">
                  <c:v>&gt;50</c:v>
                </c:pt>
              </c:strCache>
            </c:strRef>
          </c:cat>
          <c:val>
            <c:numRef>
              <c:f>Sheet1!$Q$23:$V$23</c:f>
              <c:numCache>
                <c:formatCode>0.000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13F-4462-99B7-49AD98954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858640"/>
        <c:axId val="136871120"/>
      </c:lineChart>
      <c:catAx>
        <c:axId val="15798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Lines of Generated Code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507792"/>
        <c:crosses val="autoZero"/>
        <c:auto val="1"/>
        <c:lblAlgn val="ctr"/>
        <c:lblOffset val="100"/>
        <c:noMultiLvlLbl val="0"/>
      </c:catAx>
      <c:valAx>
        <c:axId val="19175077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Couts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8016"/>
        <c:crosses val="autoZero"/>
        <c:crossBetween val="between"/>
      </c:valAx>
      <c:valAx>
        <c:axId val="13687112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Pass@1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58640"/>
        <c:crosses val="max"/>
        <c:crossBetween val="between"/>
      </c:valAx>
      <c:catAx>
        <c:axId val="1368586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6871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69803582244527129"/>
          <c:y val="4.3402777777777776E-2"/>
          <c:w val="0.21221602898458161"/>
          <c:h val="0.3953541998336042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Sheet1!$P$47</c:f>
              <c:strCache>
                <c:ptCount val="1"/>
                <c:pt idx="0">
                  <c:v>Clean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Sheet1!$Q$46:$T$46</c:f>
              <c:strCache>
                <c:ptCount val="4"/>
                <c:pt idx="0">
                  <c:v>Pass</c:v>
                </c:pt>
                <c:pt idx="1">
                  <c:v>Fail</c:v>
                </c:pt>
                <c:pt idx="2">
                  <c:v>Pass</c:v>
                </c:pt>
                <c:pt idx="3">
                  <c:v>Fail</c:v>
                </c:pt>
              </c:strCache>
            </c:strRef>
          </c:cat>
          <c:val>
            <c:numRef>
              <c:f>Sheet1!$Q$47:$T$47</c:f>
              <c:numCache>
                <c:formatCode>General</c:formatCode>
                <c:ptCount val="4"/>
                <c:pt idx="0">
                  <c:v>78</c:v>
                </c:pt>
                <c:pt idx="1">
                  <c:v>71</c:v>
                </c:pt>
                <c:pt idx="2">
                  <c:v>25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50-4E19-B38B-F729EBA44CD7}"/>
            </c:ext>
          </c:extLst>
        </c:ser>
        <c:ser>
          <c:idx val="1"/>
          <c:order val="1"/>
          <c:tx>
            <c:strRef>
              <c:f>Sheet1!$P$48</c:f>
              <c:strCache>
                <c:ptCount val="1"/>
                <c:pt idx="0">
                  <c:v>Issue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Sheet1!$Q$46:$T$46</c:f>
              <c:strCache>
                <c:ptCount val="4"/>
                <c:pt idx="0">
                  <c:v>Pass</c:v>
                </c:pt>
                <c:pt idx="1">
                  <c:v>Fail</c:v>
                </c:pt>
                <c:pt idx="2">
                  <c:v>Pass</c:v>
                </c:pt>
                <c:pt idx="3">
                  <c:v>Fail</c:v>
                </c:pt>
              </c:strCache>
            </c:strRef>
          </c:cat>
          <c:val>
            <c:numRef>
              <c:f>Sheet1!$Q$48:$T$48</c:f>
              <c:numCache>
                <c:formatCode>General</c:formatCode>
                <c:ptCount val="4"/>
                <c:pt idx="0">
                  <c:v>22</c:v>
                </c:pt>
                <c:pt idx="1">
                  <c:v>29</c:v>
                </c:pt>
                <c:pt idx="2">
                  <c:v>75</c:v>
                </c:pt>
                <c:pt idx="3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50-4E19-B38B-F729EBA44CD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49235119"/>
        <c:axId val="449231759"/>
      </c:barChart>
      <c:catAx>
        <c:axId val="449235119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Java</a:t>
                </a:r>
              </a:p>
              <a:p>
                <a:pPr>
                  <a:defRPr sz="1200" b="1"/>
                </a:pPr>
                <a:endParaRPr lang="en-US" sz="1200" b="1"/>
              </a:p>
              <a:p>
                <a:pPr>
                  <a:defRPr sz="1200" b="1"/>
                </a:pPr>
                <a:endParaRPr lang="en-US" sz="1200" b="1"/>
              </a:p>
              <a:p>
                <a:pPr>
                  <a:defRPr sz="1200" b="1"/>
                </a:pPr>
                <a:endParaRPr lang="en-US" sz="1200" b="1"/>
              </a:p>
              <a:p>
                <a:pPr>
                  <a:defRPr sz="1200" b="1"/>
                </a:pPr>
                <a:endParaRPr lang="en-US" sz="1200" b="1"/>
              </a:p>
              <a:p>
                <a:pPr>
                  <a:defRPr sz="1200" b="1"/>
                </a:pPr>
                <a:r>
                  <a:rPr lang="en-US" sz="1200" b="1"/>
                  <a:t>Python</a:t>
                </a:r>
              </a:p>
            </c:rich>
          </c:tx>
          <c:layout>
            <c:manualLayout>
              <c:xMode val="edge"/>
              <c:yMode val="edge"/>
              <c:x val="2.1193838934333728E-2"/>
              <c:y val="0.206506729485759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231759"/>
        <c:crosses val="autoZero"/>
        <c:auto val="1"/>
        <c:lblAlgn val="ctr"/>
        <c:lblOffset val="100"/>
        <c:noMultiLvlLbl val="0"/>
      </c:catAx>
      <c:valAx>
        <c:axId val="449231759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235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Sheet1!$P$52</c:f>
              <c:strCache>
                <c:ptCount val="1"/>
                <c:pt idx="0">
                  <c:v>Clean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Sheet1!$Q$51:$V$51</c:f>
              <c:strCache>
                <c:ptCount val="6"/>
                <c:pt idx="0">
                  <c:v>Easy</c:v>
                </c:pt>
                <c:pt idx="1">
                  <c:v>Medium</c:v>
                </c:pt>
                <c:pt idx="2">
                  <c:v>Hard</c:v>
                </c:pt>
                <c:pt idx="3">
                  <c:v>Easy </c:v>
                </c:pt>
                <c:pt idx="4">
                  <c:v>Medium</c:v>
                </c:pt>
                <c:pt idx="5">
                  <c:v>Hard</c:v>
                </c:pt>
              </c:strCache>
            </c:strRef>
          </c:cat>
          <c:val>
            <c:numRef>
              <c:f>Sheet1!$Q$52:$V$52</c:f>
              <c:numCache>
                <c:formatCode>General</c:formatCode>
                <c:ptCount val="6"/>
                <c:pt idx="0">
                  <c:v>25</c:v>
                </c:pt>
                <c:pt idx="1">
                  <c:v>71</c:v>
                </c:pt>
                <c:pt idx="2">
                  <c:v>16</c:v>
                </c:pt>
                <c:pt idx="3">
                  <c:v>9</c:v>
                </c:pt>
                <c:pt idx="4">
                  <c:v>19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74-4132-8501-98110DD224DF}"/>
            </c:ext>
          </c:extLst>
        </c:ser>
        <c:ser>
          <c:idx val="1"/>
          <c:order val="1"/>
          <c:tx>
            <c:strRef>
              <c:f>Sheet1!$P$53</c:f>
              <c:strCache>
                <c:ptCount val="1"/>
                <c:pt idx="0">
                  <c:v>Issue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Sheet1!$Q$51:$V$51</c:f>
              <c:strCache>
                <c:ptCount val="6"/>
                <c:pt idx="0">
                  <c:v>Easy</c:v>
                </c:pt>
                <c:pt idx="1">
                  <c:v>Medium</c:v>
                </c:pt>
                <c:pt idx="2">
                  <c:v>Hard</c:v>
                </c:pt>
                <c:pt idx="3">
                  <c:v>Easy </c:v>
                </c:pt>
                <c:pt idx="4">
                  <c:v>Medium</c:v>
                </c:pt>
                <c:pt idx="5">
                  <c:v>Hard</c:v>
                </c:pt>
              </c:strCache>
            </c:strRef>
          </c:cat>
          <c:val>
            <c:numRef>
              <c:f>Sheet1!$Q$53:$V$53</c:f>
              <c:numCache>
                <c:formatCode>General</c:formatCode>
                <c:ptCount val="6"/>
                <c:pt idx="0">
                  <c:v>6</c:v>
                </c:pt>
                <c:pt idx="1">
                  <c:v>21</c:v>
                </c:pt>
                <c:pt idx="2">
                  <c:v>10</c:v>
                </c:pt>
                <c:pt idx="3">
                  <c:v>22</c:v>
                </c:pt>
                <c:pt idx="4">
                  <c:v>73</c:v>
                </c:pt>
                <c:pt idx="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74-4132-8501-98110DD224D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30650415"/>
        <c:axId val="1830637935"/>
      </c:barChart>
      <c:catAx>
        <c:axId val="1830650415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Java</a:t>
                </a:r>
              </a:p>
              <a:p>
                <a:pPr>
                  <a:defRPr sz="1200" b="1"/>
                </a:pPr>
                <a:endParaRPr lang="en-US" sz="1200" b="1"/>
              </a:p>
              <a:p>
                <a:pPr>
                  <a:defRPr sz="1200" b="1"/>
                </a:pPr>
                <a:endParaRPr lang="en-US" sz="1200" b="1"/>
              </a:p>
              <a:p>
                <a:pPr>
                  <a:defRPr sz="1200" b="1"/>
                </a:pPr>
                <a:endParaRPr lang="en-US" sz="1200" b="1"/>
              </a:p>
              <a:p>
                <a:pPr>
                  <a:defRPr sz="1200" b="1"/>
                </a:pPr>
                <a:endParaRPr lang="en-US" sz="1200" b="1"/>
              </a:p>
              <a:p>
                <a:pPr>
                  <a:defRPr sz="1200" b="1"/>
                </a:pPr>
                <a:r>
                  <a:rPr lang="en-US" sz="1200" b="1"/>
                  <a:t>Python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267814960629921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637935"/>
        <c:crosses val="autoZero"/>
        <c:auto val="1"/>
        <c:lblAlgn val="ctr"/>
        <c:lblOffset val="100"/>
        <c:noMultiLvlLbl val="0"/>
      </c:catAx>
      <c:valAx>
        <c:axId val="1830637935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650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38075</xdr:colOff>
      <xdr:row>1</xdr:row>
      <xdr:rowOff>3811</xdr:rowOff>
    </xdr:from>
    <xdr:to>
      <xdr:col>30</xdr:col>
      <xdr:colOff>354185</xdr:colOff>
      <xdr:row>13</xdr:row>
      <xdr:rowOff>112396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287122-7F84-75C6-4369-A74AF75D3F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597784</xdr:colOff>
      <xdr:row>14</xdr:row>
      <xdr:rowOff>171450</xdr:rowOff>
    </xdr:from>
    <xdr:to>
      <xdr:col>33</xdr:col>
      <xdr:colOff>335183</xdr:colOff>
      <xdr:row>25</xdr:row>
      <xdr:rowOff>323850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8F75DF-F97F-F7A2-F36F-C0464438B5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9646</xdr:colOff>
      <xdr:row>35</xdr:row>
      <xdr:rowOff>154330</xdr:rowOff>
    </xdr:from>
    <xdr:to>
      <xdr:col>32</xdr:col>
      <xdr:colOff>598026</xdr:colOff>
      <xdr:row>50</xdr:row>
      <xdr:rowOff>19291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E60B873-95CC-1079-9B8E-CCAC3D2242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607670</xdr:colOff>
      <xdr:row>52</xdr:row>
      <xdr:rowOff>17360</xdr:rowOff>
    </xdr:from>
    <xdr:to>
      <xdr:col>33</xdr:col>
      <xdr:colOff>0</xdr:colOff>
      <xdr:row>67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C7788F3-4373-E16D-1C51-350C8E75BF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99"/>
  <sheetViews>
    <sheetView tabSelected="1" zoomScale="79" zoomScaleNormal="79" workbookViewId="0">
      <selection activeCell="A2" sqref="A2:L299"/>
    </sheetView>
  </sheetViews>
  <sheetFormatPr defaultRowHeight="14.4" x14ac:dyDescent="0.3"/>
  <cols>
    <col min="2" max="2" width="31.77734375" customWidth="1"/>
    <col min="3" max="3" width="18.109375" customWidth="1"/>
    <col min="4" max="4" width="15.6640625" customWidth="1"/>
    <col min="5" max="5" width="17.5546875" customWidth="1"/>
    <col min="6" max="6" width="17.21875" style="4" customWidth="1"/>
    <col min="7" max="7" width="14.109375" customWidth="1"/>
    <col min="8" max="8" width="9.88671875" customWidth="1"/>
    <col min="9" max="9" width="18.44140625" customWidth="1"/>
    <col min="10" max="10" width="15.44140625" customWidth="1"/>
    <col min="11" max="11" width="18.77734375" customWidth="1"/>
    <col min="12" max="12" width="18.44140625" customWidth="1"/>
    <col min="13" max="13" width="28.5546875" customWidth="1"/>
    <col min="14" max="14" width="13.33203125" customWidth="1"/>
    <col min="15" max="15" width="9.5546875" bestFit="1" customWidth="1"/>
    <col min="16" max="16" width="27.77734375" style="4" customWidth="1"/>
    <col min="17" max="17" width="17.5546875" customWidth="1"/>
    <col min="18" max="18" width="12.77734375" customWidth="1"/>
    <col min="19" max="19" width="12.6640625" customWidth="1"/>
    <col min="20" max="20" width="10.6640625" customWidth="1"/>
    <col min="21" max="21" width="11.6640625" customWidth="1"/>
    <col min="22" max="22" width="10.44140625" customWidth="1"/>
    <col min="23" max="23" width="15.7773437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15</v>
      </c>
      <c r="G1" s="1" t="s">
        <v>16</v>
      </c>
      <c r="H1" s="1" t="s">
        <v>17</v>
      </c>
      <c r="I1" s="1" t="s">
        <v>57</v>
      </c>
      <c r="J1" s="1" t="s">
        <v>58</v>
      </c>
      <c r="K1" s="1" t="s">
        <v>56</v>
      </c>
      <c r="L1" s="1" t="s">
        <v>55</v>
      </c>
      <c r="P1" s="3" t="s">
        <v>13</v>
      </c>
      <c r="Q1" s="1" t="s">
        <v>2</v>
      </c>
      <c r="R1" s="1" t="s">
        <v>10</v>
      </c>
      <c r="S1" s="1" t="s">
        <v>12</v>
      </c>
      <c r="T1" s="1" t="s">
        <v>11</v>
      </c>
      <c r="U1" s="1" t="s">
        <v>8</v>
      </c>
    </row>
    <row r="2" spans="1:21" x14ac:dyDescent="0.3">
      <c r="G2" s="5"/>
      <c r="Q2" t="s">
        <v>5</v>
      </c>
      <c r="R2">
        <f>COUNTIF(C2:C150, "Easy")</f>
        <v>0</v>
      </c>
      <c r="S2">
        <f>COUNTIFS(C2:C150, "Easy", E2:E150, "Accepted")</f>
        <v>0</v>
      </c>
      <c r="T2">
        <f>COUNTIFS(C2:C150, "Easy", E2:E150, "Wrong Answer")</f>
        <v>0</v>
      </c>
      <c r="U2">
        <f>COUNTIFS(C2:C150, "Easy",E2:E150, "Runtime Error")</f>
        <v>0</v>
      </c>
    </row>
    <row r="3" spans="1:21" x14ac:dyDescent="0.3">
      <c r="G3" s="5"/>
      <c r="Q3" t="s">
        <v>6</v>
      </c>
      <c r="R3">
        <f>COUNTIF(C2:C150, "Medium")</f>
        <v>0</v>
      </c>
      <c r="S3">
        <f>COUNTIFS(C3:C151, "Medium", E3:E151, "Accepted")</f>
        <v>0</v>
      </c>
      <c r="T3">
        <f>COUNTIFS(C3:C151, "Medium", E3:E151, "Wrong Answer")</f>
        <v>0</v>
      </c>
      <c r="U3">
        <f>COUNTIFS(C1:C151, "Medium", E1:E151, "Runtime Error")</f>
        <v>0</v>
      </c>
    </row>
    <row r="4" spans="1:21" x14ac:dyDescent="0.3">
      <c r="G4" s="5"/>
      <c r="Q4" t="s">
        <v>7</v>
      </c>
      <c r="R4">
        <f>COUNTIF(C2:C150, "Hard")</f>
        <v>0</v>
      </c>
      <c r="S4">
        <f>COUNTIFS(C4:C152, "Hard", E4:E152, "Accepted")</f>
        <v>0</v>
      </c>
      <c r="T4">
        <f>COUNTIFS(C4:C152, "Hard", E4:E152, "Wrong Answer")</f>
        <v>0</v>
      </c>
      <c r="U4">
        <f>COUNTIFS(C2:C152, "Hard", E2:E152, "Runtime Error")</f>
        <v>0</v>
      </c>
    </row>
    <row r="5" spans="1:21" ht="28.2" customHeight="1" x14ac:dyDescent="0.3">
      <c r="G5" s="5"/>
      <c r="R5">
        <f>SUM(R2:R4)</f>
        <v>0</v>
      </c>
      <c r="S5">
        <f t="shared" ref="S5:T5" si="0">SUM(S2:S4)</f>
        <v>0</v>
      </c>
      <c r="T5">
        <f t="shared" si="0"/>
        <v>0</v>
      </c>
      <c r="U5">
        <f>SUM(U2:U4)</f>
        <v>0</v>
      </c>
    </row>
    <row r="6" spans="1:21" x14ac:dyDescent="0.3">
      <c r="G6" s="5"/>
    </row>
    <row r="7" spans="1:21" x14ac:dyDescent="0.3">
      <c r="G7" s="5"/>
      <c r="P7" s="3" t="s">
        <v>9</v>
      </c>
      <c r="Q7" s="1" t="s">
        <v>2</v>
      </c>
      <c r="R7" s="1" t="s">
        <v>10</v>
      </c>
      <c r="S7" s="1" t="s">
        <v>12</v>
      </c>
      <c r="T7" s="1" t="s">
        <v>11</v>
      </c>
      <c r="U7" s="1" t="s">
        <v>8</v>
      </c>
    </row>
    <row r="8" spans="1:21" x14ac:dyDescent="0.3">
      <c r="G8" s="5"/>
      <c r="Q8" t="s">
        <v>5</v>
      </c>
      <c r="R8">
        <f>COUNTIF(C151:C299, "Easy")</f>
        <v>0</v>
      </c>
      <c r="S8">
        <f>COUNTIFS(C151:C299, "Easy", E151:E299, "Accepted")</f>
        <v>0</v>
      </c>
      <c r="T8">
        <f>COUNTIFS(C151:C299, "Easy", E151:E299, "Wrong Answer")</f>
        <v>0</v>
      </c>
      <c r="U8">
        <f>COUNTIFS(C151:C299, "Easy", E151:E299, "Runtime Error")</f>
        <v>0</v>
      </c>
    </row>
    <row r="9" spans="1:21" x14ac:dyDescent="0.3">
      <c r="G9" s="5"/>
      <c r="Q9" t="s">
        <v>6</v>
      </c>
      <c r="R9">
        <f>COUNTIF(C151:C299, "Medium")</f>
        <v>0</v>
      </c>
      <c r="S9">
        <f>COUNTIFS(C151:C299, "Medium", E151:E299, "Accepted")</f>
        <v>0</v>
      </c>
      <c r="T9">
        <f>COUNTIFS(C151:C299, "Medium", E151:E299, "Wrong Answer")</f>
        <v>0</v>
      </c>
      <c r="U9">
        <f>COUNTIFS(C151:C299, "Medium", E151:E299, "Runtime Error")</f>
        <v>0</v>
      </c>
    </row>
    <row r="10" spans="1:21" x14ac:dyDescent="0.3">
      <c r="G10" s="5"/>
      <c r="Q10" t="s">
        <v>7</v>
      </c>
      <c r="R10">
        <f>COUNTIF(C152:C299, "Hard")</f>
        <v>0</v>
      </c>
      <c r="S10">
        <f>COUNTIFS(C151:C299, "Hard", E151:E299, "Accepted")</f>
        <v>0</v>
      </c>
      <c r="T10">
        <f>COUNTIFS(C151:C299, "Hard", E151:E299, "Wrong Answer")</f>
        <v>0</v>
      </c>
      <c r="U10">
        <f>COUNTIFS(C151:C299, "Hard", E151:E299, "Runtime Error")</f>
        <v>0</v>
      </c>
    </row>
    <row r="11" spans="1:21" x14ac:dyDescent="0.3">
      <c r="G11" s="5"/>
      <c r="R11">
        <f t="shared" ref="R11" si="1">SUM(R8:R10)</f>
        <v>0</v>
      </c>
      <c r="S11">
        <f t="shared" ref="S11" si="2">SUM(S8:S10)</f>
        <v>0</v>
      </c>
      <c r="T11">
        <f t="shared" ref="T11" si="3">SUM(T8:T10)</f>
        <v>0</v>
      </c>
      <c r="U11">
        <f t="shared" ref="U11" si="4">SUM(U8:U10)</f>
        <v>0</v>
      </c>
    </row>
    <row r="12" spans="1:21" x14ac:dyDescent="0.3">
      <c r="G12" s="5"/>
    </row>
    <row r="13" spans="1:21" x14ac:dyDescent="0.3">
      <c r="G13" s="5"/>
    </row>
    <row r="14" spans="1:21" x14ac:dyDescent="0.3">
      <c r="G14" s="5"/>
      <c r="Q14" s="1" t="s">
        <v>14</v>
      </c>
      <c r="R14" s="1" t="s">
        <v>5</v>
      </c>
      <c r="S14" s="1" t="s">
        <v>6</v>
      </c>
      <c r="T14" s="1" t="s">
        <v>7</v>
      </c>
    </row>
    <row r="15" spans="1:21" x14ac:dyDescent="0.3">
      <c r="G15" s="5"/>
      <c r="Q15" t="s">
        <v>13</v>
      </c>
      <c r="R15" s="2" t="e">
        <f>S2/R2</f>
        <v>#DIV/0!</v>
      </c>
      <c r="S15" s="2" t="e">
        <f>S3/R3</f>
        <v>#DIV/0!</v>
      </c>
      <c r="T15" s="2" t="e">
        <f>S4/R4</f>
        <v>#DIV/0!</v>
      </c>
    </row>
    <row r="16" spans="1:21" x14ac:dyDescent="0.3">
      <c r="G16" s="5"/>
      <c r="Q16" t="s">
        <v>9</v>
      </c>
      <c r="R16" s="2" t="e">
        <f>S8/R8</f>
        <v>#DIV/0!</v>
      </c>
      <c r="S16" s="2" t="e">
        <f>S9/R9</f>
        <v>#DIV/0!</v>
      </c>
      <c r="T16" s="2" t="e">
        <f>S10/R10</f>
        <v>#DIV/0!</v>
      </c>
    </row>
    <row r="17" spans="7:25" x14ac:dyDescent="0.3">
      <c r="G17" s="5"/>
    </row>
    <row r="18" spans="7:25" x14ac:dyDescent="0.3">
      <c r="G18" s="5"/>
    </row>
    <row r="19" spans="7:25" x14ac:dyDescent="0.3">
      <c r="G19" s="5"/>
      <c r="P19" s="3" t="s">
        <v>18</v>
      </c>
      <c r="Q19" s="1" t="s">
        <v>19</v>
      </c>
      <c r="R19" s="6" t="s">
        <v>20</v>
      </c>
      <c r="S19" s="6" t="s">
        <v>21</v>
      </c>
      <c r="T19" s="6" t="s">
        <v>22</v>
      </c>
      <c r="U19" s="6" t="s">
        <v>24</v>
      </c>
      <c r="V19" s="6" t="s">
        <v>23</v>
      </c>
    </row>
    <row r="20" spans="7:25" x14ac:dyDescent="0.3">
      <c r="G20" s="5"/>
      <c r="P20" s="4" t="s">
        <v>13</v>
      </c>
      <c r="Q20">
        <v>23</v>
      </c>
      <c r="R20">
        <v>55</v>
      </c>
      <c r="S20">
        <v>15</v>
      </c>
      <c r="T20">
        <v>1</v>
      </c>
      <c r="U20">
        <v>0</v>
      </c>
      <c r="V20">
        <v>0</v>
      </c>
    </row>
    <row r="21" spans="7:25" x14ac:dyDescent="0.3">
      <c r="G21" s="5"/>
      <c r="P21" s="4" t="s">
        <v>9</v>
      </c>
      <c r="Q21">
        <v>5</v>
      </c>
      <c r="R21">
        <v>48</v>
      </c>
      <c r="S21">
        <v>30</v>
      </c>
      <c r="T21">
        <v>9</v>
      </c>
      <c r="U21">
        <v>2</v>
      </c>
      <c r="V21">
        <v>1</v>
      </c>
    </row>
    <row r="22" spans="7:25" x14ac:dyDescent="0.3">
      <c r="G22" s="5"/>
      <c r="P22" s="4" t="s">
        <v>25</v>
      </c>
      <c r="Q22" s="2" t="e">
        <f>Q20/S5</f>
        <v>#DIV/0!</v>
      </c>
      <c r="R22" s="2" t="e">
        <f>R20/S5</f>
        <v>#DIV/0!</v>
      </c>
      <c r="S22" s="2" t="e">
        <f>S20/S5</f>
        <v>#DIV/0!</v>
      </c>
      <c r="T22" s="2" t="e">
        <f>T20/S5</f>
        <v>#DIV/0!</v>
      </c>
      <c r="U22" s="2" t="e">
        <f>U20/S5</f>
        <v>#DIV/0!</v>
      </c>
      <c r="V22" s="2" t="e">
        <f>V20/S5</f>
        <v>#DIV/0!</v>
      </c>
    </row>
    <row r="23" spans="7:25" x14ac:dyDescent="0.3">
      <c r="G23" s="5"/>
      <c r="P23" s="4" t="s">
        <v>26</v>
      </c>
      <c r="Q23" s="2" t="e">
        <f>Q21/S11</f>
        <v>#DIV/0!</v>
      </c>
      <c r="R23" s="2" t="e">
        <f>R21/S11</f>
        <v>#DIV/0!</v>
      </c>
      <c r="S23" s="2" t="e">
        <f>S21/S11</f>
        <v>#DIV/0!</v>
      </c>
      <c r="T23" s="2" t="e">
        <f>T21/S11</f>
        <v>#DIV/0!</v>
      </c>
      <c r="U23" s="2" t="e">
        <f>U21/S11</f>
        <v>#DIV/0!</v>
      </c>
      <c r="V23" s="2" t="e">
        <f>V21/S11</f>
        <v>#DIV/0!</v>
      </c>
    </row>
    <row r="24" spans="7:25" x14ac:dyDescent="0.3">
      <c r="G24" s="5"/>
    </row>
    <row r="25" spans="7:25" x14ac:dyDescent="0.3">
      <c r="G25" s="5"/>
    </row>
    <row r="26" spans="7:25" x14ac:dyDescent="0.3">
      <c r="G26" s="5"/>
    </row>
    <row r="27" spans="7:25" x14ac:dyDescent="0.3">
      <c r="G27" s="5"/>
    </row>
    <row r="28" spans="7:25" x14ac:dyDescent="0.3">
      <c r="G28" s="5"/>
      <c r="Q28" s="13" t="s">
        <v>51</v>
      </c>
      <c r="R28" s="13"/>
      <c r="S28" s="13" t="s">
        <v>50</v>
      </c>
      <c r="T28" s="13"/>
      <c r="U28" s="13" t="s">
        <v>49</v>
      </c>
      <c r="V28" s="13"/>
    </row>
    <row r="29" spans="7:25" x14ac:dyDescent="0.3">
      <c r="G29" s="5"/>
      <c r="P29" s="3"/>
      <c r="Q29" s="8" t="s">
        <v>28</v>
      </c>
      <c r="R29" s="8" t="s">
        <v>29</v>
      </c>
      <c r="S29" s="7" t="s">
        <v>28</v>
      </c>
      <c r="T29" s="8" t="s">
        <v>29</v>
      </c>
      <c r="U29" s="8" t="s">
        <v>28</v>
      </c>
      <c r="V29" s="8" t="s">
        <v>29</v>
      </c>
      <c r="W29" s="8" t="s">
        <v>48</v>
      </c>
      <c r="X29" s="8" t="s">
        <v>47</v>
      </c>
      <c r="Y29" s="8" t="s">
        <v>52</v>
      </c>
    </row>
    <row r="30" spans="7:25" x14ac:dyDescent="0.3">
      <c r="G30" s="5"/>
      <c r="P30" s="3" t="s">
        <v>46</v>
      </c>
      <c r="Q30" s="9" t="s">
        <v>31</v>
      </c>
      <c r="R30" s="9" t="s">
        <v>35</v>
      </c>
      <c r="S30" s="9" t="s">
        <v>32</v>
      </c>
      <c r="T30" s="9" t="s">
        <v>36</v>
      </c>
      <c r="U30" s="9" t="s">
        <v>33</v>
      </c>
      <c r="V30" s="9" t="s">
        <v>37</v>
      </c>
      <c r="W30" s="9" t="s">
        <v>68</v>
      </c>
      <c r="X30" s="9" t="s">
        <v>34</v>
      </c>
      <c r="Y30" s="9" t="s">
        <v>44</v>
      </c>
    </row>
    <row r="31" spans="7:25" x14ac:dyDescent="0.3">
      <c r="G31" s="5"/>
      <c r="P31" s="3" t="s">
        <v>27</v>
      </c>
      <c r="Q31" s="9" t="s">
        <v>30</v>
      </c>
      <c r="R31" s="9" t="s">
        <v>38</v>
      </c>
      <c r="S31" s="9" t="s">
        <v>39</v>
      </c>
      <c r="T31" s="9" t="s">
        <v>40</v>
      </c>
      <c r="U31" s="9" t="s">
        <v>41</v>
      </c>
      <c r="V31" s="9" t="s">
        <v>42</v>
      </c>
      <c r="W31" s="9" t="s">
        <v>68</v>
      </c>
      <c r="X31" s="9" t="s">
        <v>43</v>
      </c>
      <c r="Y31" s="9" t="s">
        <v>45</v>
      </c>
    </row>
    <row r="32" spans="7:25" ht="19.2" customHeight="1" x14ac:dyDescent="0.3">
      <c r="G32" s="5"/>
      <c r="P32" s="3" t="s">
        <v>53</v>
      </c>
      <c r="Q32" s="9" t="s">
        <v>59</v>
      </c>
      <c r="R32" s="9" t="s">
        <v>60</v>
      </c>
      <c r="S32" s="9" t="s">
        <v>61</v>
      </c>
      <c r="T32" s="9" t="s">
        <v>62</v>
      </c>
      <c r="U32" s="9" t="s">
        <v>63</v>
      </c>
      <c r="V32" s="9" t="s">
        <v>64</v>
      </c>
      <c r="W32" s="9" t="s">
        <v>65</v>
      </c>
      <c r="X32" s="9" t="s">
        <v>66</v>
      </c>
      <c r="Y32" s="9" t="s">
        <v>67</v>
      </c>
    </row>
    <row r="33" spans="7:25" ht="18" customHeight="1" x14ac:dyDescent="0.3">
      <c r="G33" s="5"/>
      <c r="P33" s="3" t="s">
        <v>54</v>
      </c>
      <c r="Q33" s="9" t="s">
        <v>68</v>
      </c>
      <c r="R33" s="9" t="s">
        <v>68</v>
      </c>
      <c r="S33" s="9" t="s">
        <v>69</v>
      </c>
      <c r="T33" s="9">
        <v>0</v>
      </c>
      <c r="U33" s="9" t="s">
        <v>70</v>
      </c>
      <c r="V33" s="9" t="s">
        <v>70</v>
      </c>
      <c r="W33" s="9" t="s">
        <v>68</v>
      </c>
      <c r="X33" s="9" t="s">
        <v>71</v>
      </c>
      <c r="Y33" s="9" t="s">
        <v>72</v>
      </c>
    </row>
    <row r="34" spans="7:25" x14ac:dyDescent="0.3">
      <c r="G34" s="5"/>
    </row>
    <row r="35" spans="7:25" x14ac:dyDescent="0.3">
      <c r="G35" s="5"/>
      <c r="Q35" s="10"/>
      <c r="R35" s="11"/>
      <c r="S35" s="12"/>
      <c r="T35" s="12"/>
    </row>
    <row r="36" spans="7:25" x14ac:dyDescent="0.3">
      <c r="G36" s="5"/>
    </row>
    <row r="37" spans="7:25" x14ac:dyDescent="0.3">
      <c r="G37" s="5"/>
    </row>
    <row r="38" spans="7:25" x14ac:dyDescent="0.3">
      <c r="G38" s="5"/>
      <c r="Q38" s="1" t="s">
        <v>13</v>
      </c>
      <c r="R38" s="1" t="s">
        <v>9</v>
      </c>
    </row>
    <row r="39" spans="7:25" x14ac:dyDescent="0.3">
      <c r="G39" s="5"/>
      <c r="P39" s="3" t="s">
        <v>75</v>
      </c>
      <c r="Q39">
        <v>128</v>
      </c>
      <c r="R39">
        <v>24</v>
      </c>
    </row>
    <row r="40" spans="7:25" x14ac:dyDescent="0.3">
      <c r="G40" s="5"/>
      <c r="P40" s="3" t="s">
        <v>76</v>
      </c>
      <c r="Q40">
        <v>21</v>
      </c>
      <c r="R40">
        <v>71</v>
      </c>
    </row>
    <row r="41" spans="7:25" x14ac:dyDescent="0.3">
      <c r="G41" s="5"/>
      <c r="P41" s="3" t="s">
        <v>77</v>
      </c>
      <c r="Q41">
        <v>39</v>
      </c>
      <c r="R41">
        <v>7</v>
      </c>
    </row>
    <row r="42" spans="7:25" x14ac:dyDescent="0.3">
      <c r="G42" s="5"/>
      <c r="P42" s="3" t="s">
        <v>78</v>
      </c>
      <c r="Q42">
        <v>16</v>
      </c>
      <c r="R42">
        <v>47</v>
      </c>
    </row>
    <row r="43" spans="7:25" x14ac:dyDescent="0.3">
      <c r="G43" s="5"/>
    </row>
    <row r="44" spans="7:25" x14ac:dyDescent="0.3">
      <c r="G44" s="5"/>
    </row>
    <row r="45" spans="7:25" x14ac:dyDescent="0.3">
      <c r="G45" s="5"/>
      <c r="Q45" s="13" t="s">
        <v>13</v>
      </c>
      <c r="R45" s="13"/>
      <c r="S45" s="13" t="s">
        <v>9</v>
      </c>
      <c r="T45" s="13"/>
    </row>
    <row r="46" spans="7:25" x14ac:dyDescent="0.3">
      <c r="G46" s="5"/>
      <c r="P46" s="3"/>
      <c r="Q46" s="1" t="s">
        <v>73</v>
      </c>
      <c r="R46" s="1" t="s">
        <v>74</v>
      </c>
      <c r="S46" s="1" t="s">
        <v>73</v>
      </c>
      <c r="T46" s="1" t="s">
        <v>74</v>
      </c>
    </row>
    <row r="47" spans="7:25" x14ac:dyDescent="0.3">
      <c r="G47" s="5"/>
      <c r="P47" s="3" t="s">
        <v>79</v>
      </c>
      <c r="Q47">
        <v>78</v>
      </c>
      <c r="R47">
        <v>71</v>
      </c>
      <c r="S47">
        <v>25</v>
      </c>
      <c r="T47">
        <v>13</v>
      </c>
    </row>
    <row r="48" spans="7:25" x14ac:dyDescent="0.3">
      <c r="G48" s="5"/>
      <c r="P48" s="3" t="s">
        <v>80</v>
      </c>
      <c r="Q48">
        <v>22</v>
      </c>
      <c r="R48">
        <v>29</v>
      </c>
      <c r="S48">
        <v>75</v>
      </c>
      <c r="T48">
        <v>87</v>
      </c>
    </row>
    <row r="49" spans="7:22" x14ac:dyDescent="0.3">
      <c r="G49" s="5"/>
    </row>
    <row r="50" spans="7:22" x14ac:dyDescent="0.3">
      <c r="G50" s="5"/>
      <c r="Q50" s="14" t="s">
        <v>13</v>
      </c>
      <c r="R50" s="14"/>
      <c r="S50" s="14"/>
      <c r="T50" s="14" t="s">
        <v>9</v>
      </c>
      <c r="U50" s="14"/>
      <c r="V50" s="14"/>
    </row>
    <row r="51" spans="7:22" x14ac:dyDescent="0.3">
      <c r="G51" s="5"/>
      <c r="Q51" s="1" t="s">
        <v>5</v>
      </c>
      <c r="R51" s="1" t="s">
        <v>6</v>
      </c>
      <c r="S51" s="1" t="s">
        <v>7</v>
      </c>
      <c r="T51" s="1" t="s">
        <v>81</v>
      </c>
      <c r="U51" s="1" t="s">
        <v>6</v>
      </c>
      <c r="V51" s="1" t="s">
        <v>7</v>
      </c>
    </row>
    <row r="52" spans="7:22" x14ac:dyDescent="0.3">
      <c r="G52" s="5"/>
      <c r="P52" s="3" t="s">
        <v>79</v>
      </c>
      <c r="Q52" s="4">
        <v>25</v>
      </c>
      <c r="R52">
        <v>71</v>
      </c>
      <c r="S52">
        <v>16</v>
      </c>
      <c r="T52">
        <v>9</v>
      </c>
      <c r="U52">
        <v>19</v>
      </c>
      <c r="V52">
        <v>3</v>
      </c>
    </row>
    <row r="53" spans="7:22" x14ac:dyDescent="0.3">
      <c r="G53" s="5"/>
      <c r="P53" s="3" t="s">
        <v>80</v>
      </c>
      <c r="Q53" s="4">
        <v>6</v>
      </c>
      <c r="R53">
        <v>21</v>
      </c>
      <c r="S53">
        <v>10</v>
      </c>
      <c r="T53">
        <v>22</v>
      </c>
      <c r="U53">
        <v>73</v>
      </c>
      <c r="V53">
        <v>23</v>
      </c>
    </row>
    <row r="54" spans="7:22" x14ac:dyDescent="0.3">
      <c r="G54" s="5"/>
      <c r="P54" s="3"/>
      <c r="Q54" s="4"/>
    </row>
    <row r="55" spans="7:22" x14ac:dyDescent="0.3">
      <c r="G55" s="5"/>
      <c r="P55" s="3"/>
      <c r="Q55" s="4"/>
    </row>
    <row r="56" spans="7:22" x14ac:dyDescent="0.3">
      <c r="G56" s="5"/>
      <c r="P56" s="3"/>
      <c r="Q56" s="4"/>
    </row>
    <row r="57" spans="7:22" x14ac:dyDescent="0.3">
      <c r="G57" s="5"/>
      <c r="P57" s="3"/>
      <c r="Q57" s="4"/>
    </row>
    <row r="58" spans="7:22" x14ac:dyDescent="0.3">
      <c r="G58" s="5"/>
      <c r="P58" s="3"/>
      <c r="Q58" s="4"/>
    </row>
    <row r="59" spans="7:22" x14ac:dyDescent="0.3">
      <c r="G59" s="5"/>
      <c r="P59" s="3"/>
      <c r="Q59" s="4"/>
    </row>
    <row r="60" spans="7:22" x14ac:dyDescent="0.3">
      <c r="G60" s="5"/>
      <c r="P60" s="3"/>
      <c r="Q60" s="4"/>
    </row>
    <row r="61" spans="7:22" x14ac:dyDescent="0.3">
      <c r="G61" s="5"/>
      <c r="P61" s="3"/>
      <c r="Q61" s="4"/>
    </row>
    <row r="62" spans="7:22" x14ac:dyDescent="0.3">
      <c r="G62" s="5"/>
      <c r="P62" s="3"/>
      <c r="Q62" s="4"/>
    </row>
    <row r="63" spans="7:22" x14ac:dyDescent="0.3">
      <c r="G63" s="5"/>
      <c r="P63" s="3"/>
      <c r="Q63" s="4"/>
    </row>
    <row r="64" spans="7:22" x14ac:dyDescent="0.3">
      <c r="G64" s="5"/>
    </row>
    <row r="65" spans="7:7" x14ac:dyDescent="0.3">
      <c r="G65" s="5"/>
    </row>
    <row r="66" spans="7:7" x14ac:dyDescent="0.3">
      <c r="G66" s="5"/>
    </row>
    <row r="67" spans="7:7" x14ac:dyDescent="0.3">
      <c r="G67" s="5"/>
    </row>
    <row r="68" spans="7:7" x14ac:dyDescent="0.3">
      <c r="G68" s="5"/>
    </row>
    <row r="69" spans="7:7" x14ac:dyDescent="0.3">
      <c r="G69" s="5"/>
    </row>
    <row r="70" spans="7:7" x14ac:dyDescent="0.3">
      <c r="G70" s="5"/>
    </row>
    <row r="71" spans="7:7" x14ac:dyDescent="0.3">
      <c r="G71" s="5"/>
    </row>
    <row r="72" spans="7:7" x14ac:dyDescent="0.3">
      <c r="G72" s="5"/>
    </row>
    <row r="73" spans="7:7" x14ac:dyDescent="0.3">
      <c r="G73" s="5"/>
    </row>
    <row r="74" spans="7:7" x14ac:dyDescent="0.3">
      <c r="G74" s="5"/>
    </row>
    <row r="75" spans="7:7" x14ac:dyDescent="0.3">
      <c r="G75" s="5"/>
    </row>
    <row r="76" spans="7:7" x14ac:dyDescent="0.3">
      <c r="G76" s="5"/>
    </row>
    <row r="77" spans="7:7" x14ac:dyDescent="0.3">
      <c r="G77" s="5"/>
    </row>
    <row r="78" spans="7:7" x14ac:dyDescent="0.3">
      <c r="G78" s="5"/>
    </row>
    <row r="79" spans="7:7" x14ac:dyDescent="0.3">
      <c r="G79" s="5"/>
    </row>
    <row r="80" spans="7:7" x14ac:dyDescent="0.3">
      <c r="G80" s="5"/>
    </row>
    <row r="81" spans="7:7" x14ac:dyDescent="0.3">
      <c r="G81" s="5"/>
    </row>
    <row r="82" spans="7:7" x14ac:dyDescent="0.3">
      <c r="G82" s="5"/>
    </row>
    <row r="83" spans="7:7" x14ac:dyDescent="0.3">
      <c r="G83" s="5"/>
    </row>
    <row r="84" spans="7:7" x14ac:dyDescent="0.3">
      <c r="G84" s="5"/>
    </row>
    <row r="85" spans="7:7" x14ac:dyDescent="0.3">
      <c r="G85" s="5"/>
    </row>
    <row r="86" spans="7:7" x14ac:dyDescent="0.3">
      <c r="G86" s="5"/>
    </row>
    <row r="87" spans="7:7" x14ac:dyDescent="0.3">
      <c r="G87" s="5"/>
    </row>
    <row r="88" spans="7:7" x14ac:dyDescent="0.3">
      <c r="G88" s="5"/>
    </row>
    <row r="89" spans="7:7" x14ac:dyDescent="0.3">
      <c r="G89" s="5"/>
    </row>
    <row r="90" spans="7:7" x14ac:dyDescent="0.3">
      <c r="G90" s="5"/>
    </row>
    <row r="91" spans="7:7" x14ac:dyDescent="0.3">
      <c r="G91" s="5"/>
    </row>
    <row r="92" spans="7:7" x14ac:dyDescent="0.3">
      <c r="G92" s="5"/>
    </row>
    <row r="93" spans="7:7" x14ac:dyDescent="0.3">
      <c r="G93" s="5"/>
    </row>
    <row r="94" spans="7:7" x14ac:dyDescent="0.3">
      <c r="G94" s="5"/>
    </row>
    <row r="95" spans="7:7" x14ac:dyDescent="0.3">
      <c r="G95" s="5"/>
    </row>
    <row r="96" spans="7:7" x14ac:dyDescent="0.3">
      <c r="G96" s="5"/>
    </row>
    <row r="97" spans="7:7" x14ac:dyDescent="0.3">
      <c r="G97" s="5"/>
    </row>
    <row r="98" spans="7:7" x14ac:dyDescent="0.3">
      <c r="G98" s="5"/>
    </row>
    <row r="99" spans="7:7" x14ac:dyDescent="0.3">
      <c r="G99" s="5"/>
    </row>
    <row r="100" spans="7:7" x14ac:dyDescent="0.3">
      <c r="G100" s="5"/>
    </row>
    <row r="101" spans="7:7" x14ac:dyDescent="0.3">
      <c r="G101" s="5"/>
    </row>
    <row r="102" spans="7:7" x14ac:dyDescent="0.3">
      <c r="G102" s="5"/>
    </row>
    <row r="103" spans="7:7" x14ac:dyDescent="0.3">
      <c r="G103" s="5"/>
    </row>
    <row r="104" spans="7:7" x14ac:dyDescent="0.3">
      <c r="G104" s="5"/>
    </row>
    <row r="105" spans="7:7" x14ac:dyDescent="0.3">
      <c r="G105" s="5"/>
    </row>
    <row r="106" spans="7:7" x14ac:dyDescent="0.3">
      <c r="G106" s="5"/>
    </row>
    <row r="107" spans="7:7" x14ac:dyDescent="0.3">
      <c r="G107" s="5"/>
    </row>
    <row r="108" spans="7:7" x14ac:dyDescent="0.3">
      <c r="G108" s="5"/>
    </row>
    <row r="109" spans="7:7" x14ac:dyDescent="0.3">
      <c r="G109" s="5"/>
    </row>
    <row r="110" spans="7:7" x14ac:dyDescent="0.3">
      <c r="G110" s="5"/>
    </row>
    <row r="111" spans="7:7" x14ac:dyDescent="0.3">
      <c r="G111" s="5"/>
    </row>
    <row r="112" spans="7:7" x14ac:dyDescent="0.3">
      <c r="G112" s="5"/>
    </row>
    <row r="113" spans="7:7" x14ac:dyDescent="0.3">
      <c r="G113" s="5"/>
    </row>
    <row r="114" spans="7:7" x14ac:dyDescent="0.3">
      <c r="G114" s="5"/>
    </row>
    <row r="115" spans="7:7" x14ac:dyDescent="0.3">
      <c r="G115" s="5"/>
    </row>
    <row r="116" spans="7:7" x14ac:dyDescent="0.3">
      <c r="G116" s="5"/>
    </row>
    <row r="117" spans="7:7" x14ac:dyDescent="0.3">
      <c r="G117" s="5"/>
    </row>
    <row r="118" spans="7:7" x14ac:dyDescent="0.3">
      <c r="G118" s="5"/>
    </row>
    <row r="119" spans="7:7" x14ac:dyDescent="0.3">
      <c r="G119" s="5"/>
    </row>
    <row r="120" spans="7:7" x14ac:dyDescent="0.3">
      <c r="G120" s="5"/>
    </row>
    <row r="121" spans="7:7" x14ac:dyDescent="0.3">
      <c r="G121" s="5"/>
    </row>
    <row r="122" spans="7:7" x14ac:dyDescent="0.3">
      <c r="G122" s="5"/>
    </row>
    <row r="123" spans="7:7" x14ac:dyDescent="0.3">
      <c r="G123" s="5"/>
    </row>
    <row r="124" spans="7:7" x14ac:dyDescent="0.3">
      <c r="G124" s="5"/>
    </row>
    <row r="125" spans="7:7" x14ac:dyDescent="0.3">
      <c r="G125" s="5"/>
    </row>
    <row r="126" spans="7:7" x14ac:dyDescent="0.3">
      <c r="G126" s="5"/>
    </row>
    <row r="127" spans="7:7" x14ac:dyDescent="0.3">
      <c r="G127" s="5"/>
    </row>
    <row r="128" spans="7:7" x14ac:dyDescent="0.3">
      <c r="G128" s="5"/>
    </row>
    <row r="129" spans="7:7" x14ac:dyDescent="0.3">
      <c r="G129" s="5"/>
    </row>
    <row r="130" spans="7:7" x14ac:dyDescent="0.3">
      <c r="G130" s="5"/>
    </row>
    <row r="131" spans="7:7" x14ac:dyDescent="0.3">
      <c r="G131" s="5"/>
    </row>
    <row r="132" spans="7:7" x14ac:dyDescent="0.3">
      <c r="G132" s="5"/>
    </row>
    <row r="133" spans="7:7" x14ac:dyDescent="0.3">
      <c r="G133" s="5"/>
    </row>
    <row r="134" spans="7:7" x14ac:dyDescent="0.3">
      <c r="G134" s="5"/>
    </row>
    <row r="135" spans="7:7" x14ac:dyDescent="0.3">
      <c r="G135" s="5"/>
    </row>
    <row r="136" spans="7:7" x14ac:dyDescent="0.3">
      <c r="G136" s="5"/>
    </row>
    <row r="137" spans="7:7" x14ac:dyDescent="0.3">
      <c r="G137" s="5"/>
    </row>
    <row r="138" spans="7:7" x14ac:dyDescent="0.3">
      <c r="G138" s="5"/>
    </row>
    <row r="139" spans="7:7" x14ac:dyDescent="0.3">
      <c r="G139" s="5"/>
    </row>
    <row r="140" spans="7:7" x14ac:dyDescent="0.3">
      <c r="G140" s="5"/>
    </row>
    <row r="141" spans="7:7" x14ac:dyDescent="0.3">
      <c r="G141" s="5"/>
    </row>
    <row r="142" spans="7:7" x14ac:dyDescent="0.3">
      <c r="G142" s="5"/>
    </row>
    <row r="143" spans="7:7" x14ac:dyDescent="0.3">
      <c r="G143" s="5"/>
    </row>
    <row r="144" spans="7:7" x14ac:dyDescent="0.3">
      <c r="G144" s="5"/>
    </row>
    <row r="145" spans="7:7" x14ac:dyDescent="0.3">
      <c r="G145" s="5"/>
    </row>
    <row r="146" spans="7:7" x14ac:dyDescent="0.3">
      <c r="G146" s="5"/>
    </row>
    <row r="147" spans="7:7" x14ac:dyDescent="0.3">
      <c r="G147" s="5"/>
    </row>
    <row r="148" spans="7:7" x14ac:dyDescent="0.3">
      <c r="G148" s="5"/>
    </row>
    <row r="149" spans="7:7" x14ac:dyDescent="0.3">
      <c r="G149" s="5"/>
    </row>
    <row r="150" spans="7:7" x14ac:dyDescent="0.3">
      <c r="G150" s="5"/>
    </row>
    <row r="151" spans="7:7" x14ac:dyDescent="0.3">
      <c r="G151" s="5"/>
    </row>
    <row r="152" spans="7:7" x14ac:dyDescent="0.3">
      <c r="G152" s="5"/>
    </row>
    <row r="153" spans="7:7" x14ac:dyDescent="0.3">
      <c r="G153" s="5"/>
    </row>
    <row r="154" spans="7:7" x14ac:dyDescent="0.3">
      <c r="G154" s="5"/>
    </row>
    <row r="155" spans="7:7" x14ac:dyDescent="0.3">
      <c r="G155" s="5"/>
    </row>
    <row r="156" spans="7:7" x14ac:dyDescent="0.3">
      <c r="G156" s="5"/>
    </row>
    <row r="157" spans="7:7" x14ac:dyDescent="0.3">
      <c r="G157" s="5"/>
    </row>
    <row r="158" spans="7:7" x14ac:dyDescent="0.3">
      <c r="G158" s="5"/>
    </row>
    <row r="159" spans="7:7" x14ac:dyDescent="0.3">
      <c r="G159" s="5"/>
    </row>
    <row r="160" spans="7:7" x14ac:dyDescent="0.3">
      <c r="G160" s="5"/>
    </row>
    <row r="161" spans="7:7" x14ac:dyDescent="0.3">
      <c r="G161" s="5"/>
    </row>
    <row r="162" spans="7:7" x14ac:dyDescent="0.3">
      <c r="G162" s="5"/>
    </row>
    <row r="163" spans="7:7" x14ac:dyDescent="0.3">
      <c r="G163" s="5"/>
    </row>
    <row r="164" spans="7:7" x14ac:dyDescent="0.3">
      <c r="G164" s="5"/>
    </row>
    <row r="165" spans="7:7" x14ac:dyDescent="0.3">
      <c r="G165" s="5"/>
    </row>
    <row r="166" spans="7:7" x14ac:dyDescent="0.3">
      <c r="G166" s="5"/>
    </row>
    <row r="167" spans="7:7" x14ac:dyDescent="0.3">
      <c r="G167" s="5"/>
    </row>
    <row r="168" spans="7:7" x14ac:dyDescent="0.3">
      <c r="G168" s="5"/>
    </row>
    <row r="169" spans="7:7" x14ac:dyDescent="0.3">
      <c r="G169" s="5"/>
    </row>
    <row r="170" spans="7:7" x14ac:dyDescent="0.3">
      <c r="G170" s="5"/>
    </row>
    <row r="171" spans="7:7" x14ac:dyDescent="0.3">
      <c r="G171" s="5"/>
    </row>
    <row r="172" spans="7:7" x14ac:dyDescent="0.3">
      <c r="G172" s="5"/>
    </row>
    <row r="173" spans="7:7" x14ac:dyDescent="0.3">
      <c r="G173" s="5"/>
    </row>
    <row r="174" spans="7:7" x14ac:dyDescent="0.3">
      <c r="G174" s="5"/>
    </row>
    <row r="175" spans="7:7" x14ac:dyDescent="0.3">
      <c r="G175" s="5"/>
    </row>
    <row r="176" spans="7:7" x14ac:dyDescent="0.3">
      <c r="G176" s="5"/>
    </row>
    <row r="177" spans="7:7" x14ac:dyDescent="0.3">
      <c r="G177" s="5"/>
    </row>
    <row r="178" spans="7:7" x14ac:dyDescent="0.3">
      <c r="G178" s="5"/>
    </row>
    <row r="179" spans="7:7" x14ac:dyDescent="0.3">
      <c r="G179" s="5"/>
    </row>
    <row r="180" spans="7:7" x14ac:dyDescent="0.3">
      <c r="G180" s="5"/>
    </row>
    <row r="181" spans="7:7" x14ac:dyDescent="0.3">
      <c r="G181" s="5"/>
    </row>
    <row r="182" spans="7:7" x14ac:dyDescent="0.3">
      <c r="G182" s="5"/>
    </row>
    <row r="183" spans="7:7" x14ac:dyDescent="0.3">
      <c r="G183" s="5"/>
    </row>
    <row r="184" spans="7:7" x14ac:dyDescent="0.3">
      <c r="G184" s="5"/>
    </row>
    <row r="185" spans="7:7" x14ac:dyDescent="0.3">
      <c r="G185" s="5"/>
    </row>
    <row r="186" spans="7:7" x14ac:dyDescent="0.3">
      <c r="G186" s="5"/>
    </row>
    <row r="187" spans="7:7" x14ac:dyDescent="0.3">
      <c r="G187" s="5"/>
    </row>
    <row r="188" spans="7:7" x14ac:dyDescent="0.3">
      <c r="G188" s="5"/>
    </row>
    <row r="189" spans="7:7" x14ac:dyDescent="0.3">
      <c r="G189" s="5"/>
    </row>
    <row r="190" spans="7:7" x14ac:dyDescent="0.3">
      <c r="G190" s="5"/>
    </row>
    <row r="191" spans="7:7" x14ac:dyDescent="0.3">
      <c r="G191" s="5"/>
    </row>
    <row r="192" spans="7:7" x14ac:dyDescent="0.3">
      <c r="G192" s="5"/>
    </row>
    <row r="193" spans="7:7" x14ac:dyDescent="0.3">
      <c r="G193" s="5"/>
    </row>
    <row r="194" spans="7:7" x14ac:dyDescent="0.3">
      <c r="G194" s="5"/>
    </row>
    <row r="195" spans="7:7" x14ac:dyDescent="0.3">
      <c r="G195" s="5"/>
    </row>
    <row r="196" spans="7:7" x14ac:dyDescent="0.3">
      <c r="G196" s="5"/>
    </row>
    <row r="197" spans="7:7" x14ac:dyDescent="0.3">
      <c r="G197" s="5"/>
    </row>
    <row r="198" spans="7:7" x14ac:dyDescent="0.3">
      <c r="G198" s="5"/>
    </row>
    <row r="199" spans="7:7" x14ac:dyDescent="0.3">
      <c r="G199" s="5"/>
    </row>
    <row r="200" spans="7:7" x14ac:dyDescent="0.3">
      <c r="G200" s="5"/>
    </row>
    <row r="201" spans="7:7" x14ac:dyDescent="0.3">
      <c r="G201" s="5"/>
    </row>
    <row r="202" spans="7:7" x14ac:dyDescent="0.3">
      <c r="G202" s="5"/>
    </row>
    <row r="203" spans="7:7" x14ac:dyDescent="0.3">
      <c r="G203" s="5"/>
    </row>
    <row r="204" spans="7:7" x14ac:dyDescent="0.3">
      <c r="G204" s="5"/>
    </row>
    <row r="205" spans="7:7" x14ac:dyDescent="0.3">
      <c r="G205" s="5"/>
    </row>
    <row r="206" spans="7:7" x14ac:dyDescent="0.3">
      <c r="G206" s="5"/>
    </row>
    <row r="207" spans="7:7" x14ac:dyDescent="0.3">
      <c r="G207" s="5"/>
    </row>
    <row r="208" spans="7:7" x14ac:dyDescent="0.3">
      <c r="G208" s="5"/>
    </row>
    <row r="209" spans="7:7" x14ac:dyDescent="0.3">
      <c r="G209" s="5"/>
    </row>
    <row r="210" spans="7:7" x14ac:dyDescent="0.3">
      <c r="G210" s="5"/>
    </row>
    <row r="211" spans="7:7" x14ac:dyDescent="0.3">
      <c r="G211" s="5"/>
    </row>
    <row r="212" spans="7:7" x14ac:dyDescent="0.3">
      <c r="G212" s="5"/>
    </row>
    <row r="213" spans="7:7" x14ac:dyDescent="0.3">
      <c r="G213" s="5"/>
    </row>
    <row r="214" spans="7:7" x14ac:dyDescent="0.3">
      <c r="G214" s="5"/>
    </row>
    <row r="215" spans="7:7" x14ac:dyDescent="0.3">
      <c r="G215" s="5"/>
    </row>
    <row r="216" spans="7:7" x14ac:dyDescent="0.3">
      <c r="G216" s="5"/>
    </row>
    <row r="217" spans="7:7" x14ac:dyDescent="0.3">
      <c r="G217" s="5"/>
    </row>
    <row r="218" spans="7:7" x14ac:dyDescent="0.3">
      <c r="G218" s="5"/>
    </row>
    <row r="219" spans="7:7" x14ac:dyDescent="0.3">
      <c r="G219" s="5"/>
    </row>
    <row r="220" spans="7:7" x14ac:dyDescent="0.3">
      <c r="G220" s="5"/>
    </row>
    <row r="221" spans="7:7" x14ac:dyDescent="0.3">
      <c r="G221" s="5"/>
    </row>
    <row r="222" spans="7:7" x14ac:dyDescent="0.3">
      <c r="G222" s="5"/>
    </row>
    <row r="223" spans="7:7" x14ac:dyDescent="0.3">
      <c r="G223" s="5"/>
    </row>
    <row r="224" spans="7:7" x14ac:dyDescent="0.3">
      <c r="G224" s="5"/>
    </row>
    <row r="225" spans="7:7" x14ac:dyDescent="0.3">
      <c r="G225" s="5"/>
    </row>
    <row r="226" spans="7:7" x14ac:dyDescent="0.3">
      <c r="G226" s="5"/>
    </row>
    <row r="227" spans="7:7" x14ac:dyDescent="0.3">
      <c r="G227" s="5"/>
    </row>
    <row r="228" spans="7:7" x14ac:dyDescent="0.3">
      <c r="G228" s="5"/>
    </row>
    <row r="229" spans="7:7" x14ac:dyDescent="0.3">
      <c r="G229" s="5"/>
    </row>
    <row r="230" spans="7:7" x14ac:dyDescent="0.3">
      <c r="G230" s="5"/>
    </row>
    <row r="231" spans="7:7" x14ac:dyDescent="0.3">
      <c r="G231" s="5"/>
    </row>
    <row r="232" spans="7:7" x14ac:dyDescent="0.3">
      <c r="G232" s="5"/>
    </row>
    <row r="233" spans="7:7" x14ac:dyDescent="0.3">
      <c r="G233" s="5"/>
    </row>
    <row r="234" spans="7:7" x14ac:dyDescent="0.3">
      <c r="G234" s="5"/>
    </row>
    <row r="235" spans="7:7" x14ac:dyDescent="0.3">
      <c r="G235" s="5"/>
    </row>
    <row r="236" spans="7:7" x14ac:dyDescent="0.3">
      <c r="G236" s="5"/>
    </row>
    <row r="237" spans="7:7" x14ac:dyDescent="0.3">
      <c r="G237" s="5"/>
    </row>
    <row r="238" spans="7:7" x14ac:dyDescent="0.3">
      <c r="G238" s="5"/>
    </row>
    <row r="239" spans="7:7" x14ac:dyDescent="0.3">
      <c r="G239" s="5"/>
    </row>
    <row r="240" spans="7:7" x14ac:dyDescent="0.3">
      <c r="G240" s="5"/>
    </row>
    <row r="241" spans="7:7" x14ac:dyDescent="0.3">
      <c r="G241" s="5"/>
    </row>
    <row r="242" spans="7:7" x14ac:dyDescent="0.3">
      <c r="G242" s="5"/>
    </row>
    <row r="243" spans="7:7" x14ac:dyDescent="0.3">
      <c r="G243" s="5"/>
    </row>
    <row r="244" spans="7:7" x14ac:dyDescent="0.3">
      <c r="G244" s="5"/>
    </row>
    <row r="245" spans="7:7" x14ac:dyDescent="0.3">
      <c r="G245" s="5"/>
    </row>
    <row r="246" spans="7:7" x14ac:dyDescent="0.3">
      <c r="G246" s="5"/>
    </row>
    <row r="247" spans="7:7" x14ac:dyDescent="0.3">
      <c r="G247" s="5"/>
    </row>
    <row r="248" spans="7:7" x14ac:dyDescent="0.3">
      <c r="G248" s="5"/>
    </row>
    <row r="249" spans="7:7" x14ac:dyDescent="0.3">
      <c r="G249" s="5"/>
    </row>
    <row r="250" spans="7:7" x14ac:dyDescent="0.3">
      <c r="G250" s="5"/>
    </row>
    <row r="251" spans="7:7" x14ac:dyDescent="0.3">
      <c r="G251" s="5"/>
    </row>
    <row r="252" spans="7:7" x14ac:dyDescent="0.3">
      <c r="G252" s="5"/>
    </row>
    <row r="253" spans="7:7" x14ac:dyDescent="0.3">
      <c r="G253" s="5"/>
    </row>
    <row r="254" spans="7:7" x14ac:dyDescent="0.3">
      <c r="G254" s="5"/>
    </row>
    <row r="255" spans="7:7" x14ac:dyDescent="0.3">
      <c r="G255" s="5"/>
    </row>
    <row r="256" spans="7:7" x14ac:dyDescent="0.3">
      <c r="G256" s="5"/>
    </row>
    <row r="257" spans="7:7" x14ac:dyDescent="0.3">
      <c r="G257" s="5"/>
    </row>
    <row r="258" spans="7:7" x14ac:dyDescent="0.3">
      <c r="G258" s="5"/>
    </row>
    <row r="259" spans="7:7" x14ac:dyDescent="0.3">
      <c r="G259" s="5"/>
    </row>
    <row r="260" spans="7:7" x14ac:dyDescent="0.3">
      <c r="G260" s="5"/>
    </row>
    <row r="261" spans="7:7" x14ac:dyDescent="0.3">
      <c r="G261" s="5"/>
    </row>
    <row r="262" spans="7:7" x14ac:dyDescent="0.3">
      <c r="G262" s="5"/>
    </row>
    <row r="263" spans="7:7" x14ac:dyDescent="0.3">
      <c r="G263" s="5"/>
    </row>
    <row r="264" spans="7:7" x14ac:dyDescent="0.3">
      <c r="G264" s="5"/>
    </row>
    <row r="265" spans="7:7" x14ac:dyDescent="0.3">
      <c r="G265" s="5"/>
    </row>
    <row r="266" spans="7:7" x14ac:dyDescent="0.3">
      <c r="G266" s="5"/>
    </row>
    <row r="267" spans="7:7" x14ac:dyDescent="0.3">
      <c r="G267" s="5"/>
    </row>
    <row r="268" spans="7:7" x14ac:dyDescent="0.3">
      <c r="G268" s="5"/>
    </row>
    <row r="269" spans="7:7" x14ac:dyDescent="0.3">
      <c r="G269" s="5"/>
    </row>
    <row r="270" spans="7:7" x14ac:dyDescent="0.3">
      <c r="G270" s="5"/>
    </row>
    <row r="271" spans="7:7" x14ac:dyDescent="0.3">
      <c r="G271" s="5"/>
    </row>
    <row r="272" spans="7:7" x14ac:dyDescent="0.3">
      <c r="G272" s="5"/>
    </row>
    <row r="273" spans="7:7" x14ac:dyDescent="0.3">
      <c r="G273" s="5"/>
    </row>
    <row r="274" spans="7:7" x14ac:dyDescent="0.3">
      <c r="G274" s="5"/>
    </row>
    <row r="275" spans="7:7" x14ac:dyDescent="0.3">
      <c r="G275" s="5"/>
    </row>
    <row r="276" spans="7:7" x14ac:dyDescent="0.3">
      <c r="G276" s="5"/>
    </row>
    <row r="277" spans="7:7" x14ac:dyDescent="0.3">
      <c r="G277" s="5"/>
    </row>
    <row r="278" spans="7:7" x14ac:dyDescent="0.3">
      <c r="G278" s="5"/>
    </row>
    <row r="279" spans="7:7" x14ac:dyDescent="0.3">
      <c r="G279" s="5"/>
    </row>
    <row r="280" spans="7:7" x14ac:dyDescent="0.3">
      <c r="G280" s="5"/>
    </row>
    <row r="281" spans="7:7" x14ac:dyDescent="0.3">
      <c r="G281" s="5"/>
    </row>
    <row r="282" spans="7:7" x14ac:dyDescent="0.3">
      <c r="G282" s="5"/>
    </row>
    <row r="283" spans="7:7" x14ac:dyDescent="0.3">
      <c r="G283" s="5"/>
    </row>
    <row r="284" spans="7:7" x14ac:dyDescent="0.3">
      <c r="G284" s="5"/>
    </row>
    <row r="285" spans="7:7" x14ac:dyDescent="0.3">
      <c r="G285" s="5"/>
    </row>
    <row r="286" spans="7:7" x14ac:dyDescent="0.3">
      <c r="G286" s="5"/>
    </row>
    <row r="287" spans="7:7" x14ac:dyDescent="0.3">
      <c r="G287" s="5"/>
    </row>
    <row r="288" spans="7:7" x14ac:dyDescent="0.3">
      <c r="G288" s="5"/>
    </row>
    <row r="289" spans="7:7" x14ac:dyDescent="0.3">
      <c r="G289" s="5"/>
    </row>
    <row r="290" spans="7:7" x14ac:dyDescent="0.3">
      <c r="G290" s="5"/>
    </row>
    <row r="291" spans="7:7" x14ac:dyDescent="0.3">
      <c r="G291" s="5"/>
    </row>
    <row r="292" spans="7:7" x14ac:dyDescent="0.3">
      <c r="G292" s="5"/>
    </row>
    <row r="293" spans="7:7" x14ac:dyDescent="0.3">
      <c r="G293" s="5"/>
    </row>
    <row r="294" spans="7:7" x14ac:dyDescent="0.3">
      <c r="G294" s="5"/>
    </row>
    <row r="295" spans="7:7" x14ac:dyDescent="0.3">
      <c r="G295" s="5"/>
    </row>
    <row r="296" spans="7:7" x14ac:dyDescent="0.3">
      <c r="G296" s="5"/>
    </row>
    <row r="297" spans="7:7" x14ac:dyDescent="0.3">
      <c r="G297" s="5"/>
    </row>
    <row r="298" spans="7:7" x14ac:dyDescent="0.3">
      <c r="G298" s="5"/>
    </row>
    <row r="299" spans="7:7" x14ac:dyDescent="0.3">
      <c r="G299" s="5"/>
    </row>
  </sheetData>
  <autoFilter ref="A1:L299" xr:uid="{00000000-0001-0000-0000-000000000000}"/>
  <mergeCells count="7">
    <mergeCell ref="Q45:R45"/>
    <mergeCell ref="S45:T45"/>
    <mergeCell ref="Q50:S50"/>
    <mergeCell ref="T50:V50"/>
    <mergeCell ref="Q28:R28"/>
    <mergeCell ref="S28:T28"/>
    <mergeCell ref="U28:V28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Ojas Rajesh Wani</dc:creator>
  <cp:lastModifiedBy>Ojas Rajesh Wani</cp:lastModifiedBy>
  <dcterms:created xsi:type="dcterms:W3CDTF">2024-11-06T01:27:34Z</dcterms:created>
  <dcterms:modified xsi:type="dcterms:W3CDTF">2024-12-01T02:01:40Z</dcterms:modified>
</cp:coreProperties>
</file>